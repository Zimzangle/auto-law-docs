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"/>
    </mc:Choice>
  </mc:AlternateContent>
  <xr:revisionPtr revIDLastSave="0" documentId="13_ncr:1_{88FA8768-814F-4C71-97E0-BB0E75F2D93F}" xr6:coauthVersionLast="45" xr6:coauthVersionMax="45" xr10:uidLastSave="{00000000-0000-0000-0000-000000000000}"/>
  <bookViews>
    <workbookView xWindow="0" yWindow="3000" windowWidth="18030" windowHeight="9360" xr2:uid="{00000000-000D-0000-FFFF-FFFF00000000}"/>
  </bookViews>
  <sheets>
    <sheet name="BD" sheetId="1" r:id="rId1"/>
    <sheet name="Главная" sheetId="2" r:id="rId2"/>
  </sheets>
  <functionGroups builtInGroupCount="19"/>
  <definedNames>
    <definedName name="IMO">Главная!$B$1</definedName>
  </definedNames>
  <calcPr calcId="191029"/>
</workbook>
</file>

<file path=xl/calcChain.xml><?xml version="1.0" encoding="utf-8"?>
<calcChain xmlns="http://schemas.openxmlformats.org/spreadsheetml/2006/main">
  <c r="F4" i="2" l="1"/>
  <c r="B1" i="2"/>
  <c r="B2" i="2"/>
</calcChain>
</file>

<file path=xl/sharedStrings.xml><?xml version="1.0" encoding="utf-8"?>
<sst xmlns="http://schemas.openxmlformats.org/spreadsheetml/2006/main" count="38" uniqueCount="37">
  <si>
    <t>Реквизиты</t>
  </si>
  <si>
    <t>Скан</t>
  </si>
  <si>
    <t>Оригинал</t>
  </si>
  <si>
    <t>Контрагент</t>
  </si>
  <si>
    <t>Номер</t>
  </si>
  <si>
    <t>Дата</t>
  </si>
  <si>
    <t>Тип документа</t>
  </si>
  <si>
    <t>Название документа</t>
  </si>
  <si>
    <t>Буквенный код</t>
  </si>
  <si>
    <t>Форма общества</t>
  </si>
  <si>
    <t>Форма общества2 полн</t>
  </si>
  <si>
    <t>Должность контрагента</t>
  </si>
  <si>
    <t>Должность контрагента2 полн</t>
  </si>
  <si>
    <t>ФИО Директора</t>
  </si>
  <si>
    <t>Фамилия и инициалы</t>
  </si>
  <si>
    <t>Фамилия склонение</t>
  </si>
  <si>
    <t>его/ей</t>
  </si>
  <si>
    <t>Устав или доверенность</t>
  </si>
  <si>
    <t>Номер файла для сортировки</t>
  </si>
  <si>
    <t>ИНН</t>
  </si>
  <si>
    <t>ОГРН</t>
  </si>
  <si>
    <t>КПП</t>
  </si>
  <si>
    <t>Адрес</t>
  </si>
  <si>
    <t>Должность -кому</t>
  </si>
  <si>
    <t>Должность контрагента4 кому склон полн</t>
  </si>
  <si>
    <t>Адрес электронной почты</t>
  </si>
  <si>
    <t>Расчётный счёт</t>
  </si>
  <si>
    <t>Выбран номер</t>
  </si>
  <si>
    <t>Насторйки</t>
  </si>
  <si>
    <t>Префикс выходного файла</t>
  </si>
  <si>
    <t>Шаблоны документов</t>
  </si>
  <si>
    <t>C:\Project\01_SHABLON</t>
  </si>
  <si>
    <t>Путь вывода результата</t>
  </si>
  <si>
    <t>C:\Project\00_Result_Dogovor</t>
  </si>
  <si>
    <t>Количество полей базы</t>
  </si>
  <si>
    <t xml:space="preserve">Правила </t>
  </si>
  <si>
    <t>нельзя использовать"/" в номере договора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</si>
</sst>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4" fillId="0" borderId="0"/>
    <xf numFmtId="0" fontId="6" fillId="0" borderId="0"/>
  </cellStyleXfs>
  <cellXfs count="23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/>
    <xf numFmtId="0" fontId="1" fillId="0" borderId="0" xfId="0" applyFont="1"/>
    <xf numFmtId="0" fontId="0" fillId="0" borderId="0" xfId="0"/>
    <xf numFmtId="0" fontId="2" fillId="3" borderId="0" xfId="0" applyFont="1" applyFill="1"/>
    <xf numFmtId="3" fontId="2" fillId="3" borderId="0" xfId="0" applyNumberFormat="1" applyFont="1" applyFill="1" applyAlignment="1">
      <alignment horizontal="center"/>
    </xf>
    <xf numFmtId="0" fontId="0" fillId="4" borderId="4" xfId="0" applyFill="1" applyBorder="1"/>
    <xf numFmtId="0" fontId="0" fillId="5" borderId="5" xfId="0" applyFill="1" applyBorder="1"/>
    <xf numFmtId="0" fontId="1" fillId="5" borderId="6" xfId="0" applyFont="1" applyFill="1" applyBorder="1"/>
    <xf numFmtId="0" fontId="2" fillId="5" borderId="7" xfId="0" applyFont="1" applyFill="1" applyBorder="1"/>
    <xf numFmtId="0" fontId="0" fillId="4" borderId="0" xfId="0" applyFill="1" applyAlignment="1">
      <alignment horizontal="center"/>
    </xf>
    <xf numFmtId="0" fontId="5" fillId="4" borderId="0" xfId="0" applyFont="1" applyFill="1" applyAlignment="1">
      <alignment horizontal="center"/>
    </xf>
    <xf numFmtId="0" fontId="4" fillId="4" borderId="0" xfId="1" applyFill="1" applyAlignment="1">
      <alignment horizontal="right" vertical="center"/>
    </xf>
    <xf numFmtId="0" fontId="0" fillId="6" borderId="0" xfId="0" applyFill="1"/>
    <xf numFmtId="0" fontId="0" fillId="0" borderId="0" xfId="0" applyAlignment="1">
      <alignment horizontal="center" vertical="center" wrapText="1"/>
    </xf>
    <xf numFmtId="0" fontId="0" fillId="3" borderId="0" xfId="0" applyFill="1"/>
    <xf numFmtId="0" fontId="0" fillId="6" borderId="0" xfId="0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/>
    </xf>
    <xf numFmtId="0" fontId="0" fillId="0" borderId="3" xfId="0" applyBorder="1"/>
  </cellXfs>
  <cellStyles count="3">
    <cellStyle name="Гиперссылка" xfId="1" builtinId="8"/>
    <cellStyle name="Обычный" xfId="0" builtinId="0"/>
    <cellStyle name="Обычный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20" dropStyle="combo" dx="22" fmlaLink="$B$3" fmlaRange="BD!$A:$A" sel="2" val="164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2</xdr:row>
          <xdr:rowOff>28575</xdr:rowOff>
        </xdr:from>
        <xdr:to>
          <xdr:col>2</xdr:col>
          <xdr:colOff>257175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D2DE1CA-033A-444A-8AA1-C1A2367D2D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Word по шаблону документа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28575</xdr:rowOff>
        </xdr:from>
        <xdr:to>
          <xdr:col>0</xdr:col>
          <xdr:colOff>3000375</xdr:colOff>
          <xdr:row>3</xdr:row>
          <xdr:rowOff>38100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971B686-D8BA-44CC-B41C-7A560037E9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6</xdr:row>
          <xdr:rowOff>171450</xdr:rowOff>
        </xdr:from>
        <xdr:to>
          <xdr:col>1</xdr:col>
          <xdr:colOff>2219325</xdr:colOff>
          <xdr:row>9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98B9B95-4A55-4FCA-AF82-F046EA5B13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реестр договоров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11</xdr:row>
          <xdr:rowOff>9525</xdr:rowOff>
        </xdr:from>
        <xdr:to>
          <xdr:col>1</xdr:col>
          <xdr:colOff>3209925</xdr:colOff>
          <xdr:row>14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10F69B31-68D7-4D58-AEFF-8DE94A7E9D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единый реестр договоров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BO1"/>
  <sheetViews>
    <sheetView tabSelected="1" zoomScaleNormal="100" workbookViewId="0">
      <pane ySplit="1" topLeftCell="A2" activePane="bottomLeft" state="frozen"/>
      <selection activeCell="A15" sqref="A15"/>
      <selection pane="bottomLeft" activeCell="I6" sqref="I6"/>
    </sheetView>
  </sheetViews>
  <sheetFormatPr defaultRowHeight="15" x14ac:dyDescent="0.25"/>
  <cols>
    <col min="1" max="1" width="31" style="6" customWidth="1"/>
    <col min="2" max="2" width="16.5703125" style="6" customWidth="1"/>
    <col min="3" max="3" width="17.42578125" style="6" customWidth="1"/>
    <col min="4" max="4" width="15.28515625" style="6" bestFit="1" customWidth="1"/>
    <col min="5" max="5" width="11.5703125" style="6" customWidth="1"/>
    <col min="6" max="6" width="12.85546875" style="6" customWidth="1"/>
    <col min="7" max="8" width="13.5703125" style="6" customWidth="1"/>
    <col min="9" max="9" width="17.140625" style="17" customWidth="1"/>
    <col min="10" max="11" width="16" style="6" customWidth="1"/>
    <col min="12" max="13" width="16.42578125" style="6" customWidth="1"/>
    <col min="14" max="14" width="25.42578125" style="6" customWidth="1"/>
    <col min="15" max="15" width="15.5703125" style="6" customWidth="1"/>
    <col min="16" max="16" width="18.5703125" style="6" customWidth="1"/>
    <col min="17" max="17" width="9.140625" style="6" customWidth="1"/>
    <col min="18" max="18" width="13.5703125" style="6" customWidth="1"/>
    <col min="19" max="19" width="11.7109375" style="6" customWidth="1"/>
    <col min="22" max="22" width="9.140625" style="6" customWidth="1"/>
    <col min="24" max="24" width="11.42578125" style="6" customWidth="1"/>
    <col min="33" max="33" width="9.85546875" style="6" bestFit="1" customWidth="1"/>
    <col min="34" max="34" width="12.5703125" style="6" customWidth="1"/>
    <col min="35" max="41" width="9.85546875" style="6" bestFit="1" customWidth="1"/>
    <col min="42" max="42" width="19" style="6" bestFit="1" customWidth="1"/>
    <col min="43" max="43" width="31" style="6" bestFit="1" customWidth="1"/>
    <col min="44" max="44" width="9.85546875" style="6" bestFit="1" customWidth="1"/>
    <col min="47" max="47" width="20.7109375" style="6" bestFit="1" customWidth="1"/>
    <col min="49" max="49" width="21.42578125" style="6" bestFit="1" customWidth="1"/>
    <col min="50" max="50" width="22.85546875" style="6" bestFit="1" customWidth="1"/>
    <col min="51" max="51" width="11.5703125" style="6" customWidth="1"/>
    <col min="52" max="52" width="19" style="6" customWidth="1"/>
    <col min="53" max="53" width="34" style="6" customWidth="1"/>
    <col min="54" max="54" width="29.28515625" style="6" customWidth="1"/>
    <col min="55" max="55" width="10.28515625" style="6" customWidth="1"/>
    <col min="56" max="56" width="14.140625" style="6" customWidth="1"/>
    <col min="57" max="58" width="9.85546875" style="6" bestFit="1" customWidth="1"/>
    <col min="61" max="61" width="11.28515625" style="6" customWidth="1"/>
    <col min="62" max="62" width="12.140625" style="6" customWidth="1"/>
  </cols>
  <sheetData>
    <row r="1" spans="1:67" s="17" customFormat="1" ht="36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20" t="s">
        <v>8</v>
      </c>
      <c r="J1" s="20" t="s">
        <v>9</v>
      </c>
      <c r="K1" s="20" t="s">
        <v>10</v>
      </c>
      <c r="L1" s="20" t="s">
        <v>11</v>
      </c>
      <c r="M1" s="20" t="s">
        <v>12</v>
      </c>
      <c r="N1" s="20" t="s">
        <v>13</v>
      </c>
      <c r="O1" s="20" t="s">
        <v>14</v>
      </c>
      <c r="P1" s="20" t="s">
        <v>15</v>
      </c>
      <c r="Q1" s="20" t="s">
        <v>16</v>
      </c>
      <c r="R1" s="20" t="s">
        <v>17</v>
      </c>
      <c r="S1" s="20" t="s">
        <v>18</v>
      </c>
      <c r="T1" s="19" t="s">
        <v>19</v>
      </c>
      <c r="U1" s="19" t="s">
        <v>20</v>
      </c>
      <c r="V1" s="20" t="s">
        <v>21</v>
      </c>
      <c r="W1" s="20" t="s">
        <v>22</v>
      </c>
      <c r="X1" s="20" t="s">
        <v>23</v>
      </c>
      <c r="Y1" s="20" t="s">
        <v>24</v>
      </c>
      <c r="Z1" s="20" t="s">
        <v>15</v>
      </c>
      <c r="AA1" s="20" t="s">
        <v>25</v>
      </c>
      <c r="AB1" s="20" t="s">
        <v>26</v>
      </c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</row>
  </sheetData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I9"/>
  <sheetViews>
    <sheetView workbookViewId="0">
      <selection activeCell="F14" sqref="F14:F15"/>
    </sheetView>
  </sheetViews>
  <sheetFormatPr defaultRowHeight="15" x14ac:dyDescent="0.25"/>
  <cols>
    <col min="1" max="1" width="48.42578125" style="6" customWidth="1"/>
    <col min="2" max="2" width="60.28515625" style="6" customWidth="1"/>
    <col min="3" max="3" width="7" style="6" customWidth="1"/>
    <col min="4" max="4" width="2.28515625" style="6" customWidth="1"/>
    <col min="5" max="5" width="26.85546875" style="18" bestFit="1" customWidth="1"/>
    <col min="6" max="6" width="59.5703125" style="18" customWidth="1"/>
    <col min="7" max="9" width="9.140625" style="18" customWidth="1"/>
  </cols>
  <sheetData>
    <row r="1" spans="1:6" x14ac:dyDescent="0.25">
      <c r="A1" s="15" t="s">
        <v>27</v>
      </c>
      <c r="B1" s="13">
        <f>INDEX(BD!A:BO,B3,2)</f>
        <v>0</v>
      </c>
      <c r="E1" s="21" t="s">
        <v>28</v>
      </c>
      <c r="F1" s="22"/>
    </row>
    <row r="2" spans="1:6" x14ac:dyDescent="0.25">
      <c r="A2" s="4" t="s">
        <v>29</v>
      </c>
      <c r="B2" s="14">
        <f>INDEX(BD!A:BO,B3,1)</f>
        <v>0</v>
      </c>
      <c r="E2" s="9" t="s">
        <v>30</v>
      </c>
      <c r="F2" s="10" t="s">
        <v>31</v>
      </c>
    </row>
    <row r="3" spans="1:6" x14ac:dyDescent="0.25">
      <c r="B3">
        <v>2</v>
      </c>
      <c r="E3" s="9" t="s">
        <v>32</v>
      </c>
      <c r="F3" s="10" t="s">
        <v>33</v>
      </c>
    </row>
    <row r="4" spans="1:6" ht="15.75" customHeight="1" thickBot="1" x14ac:dyDescent="0.3">
      <c r="A4" s="5"/>
      <c r="B4" s="1"/>
      <c r="C4" s="2"/>
      <c r="D4" s="2"/>
      <c r="E4" s="11" t="s">
        <v>34</v>
      </c>
      <c r="F4" s="12">
        <f>COUNTIF(BD!1:1,"*")</f>
        <v>28</v>
      </c>
    </row>
    <row r="5" spans="1:6" x14ac:dyDescent="0.25">
      <c r="A5" s="7"/>
      <c r="B5" s="8"/>
      <c r="C5" s="2"/>
      <c r="D5" s="2"/>
      <c r="E5" s="7"/>
      <c r="F5" s="7"/>
    </row>
    <row r="8" spans="1:6" x14ac:dyDescent="0.25">
      <c r="A8" t="s">
        <v>35</v>
      </c>
    </row>
    <row r="9" spans="1:6" x14ac:dyDescent="0.25">
      <c r="A9" s="16" t="s">
        <v>36</v>
      </c>
    </row>
  </sheetData>
  <mergeCells count="1">
    <mergeCell ref="E1:F1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1</xdr:col>
                    <xdr:colOff>123825</xdr:colOff>
                    <xdr:row>2</xdr:row>
                    <xdr:rowOff>28575</xdr:rowOff>
                  </from>
                  <to>
                    <xdr:col>2</xdr:col>
                    <xdr:colOff>257175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0</xdr:col>
                    <xdr:colOff>57150</xdr:colOff>
                    <xdr:row>2</xdr:row>
                    <xdr:rowOff>28575</xdr:rowOff>
                  </from>
                  <to>
                    <xdr:col>0</xdr:col>
                    <xdr:colOff>3000375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dule2.Backup">
                <anchor moveWithCells="1" sizeWithCells="1">
                  <from>
                    <xdr:col>1</xdr:col>
                    <xdr:colOff>257175</xdr:colOff>
                    <xdr:row>6</xdr:row>
                    <xdr:rowOff>171450</xdr:rowOff>
                  </from>
                  <to>
                    <xdr:col>1</xdr:col>
                    <xdr:colOff>2219325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ackupALL">
                <anchor moveWithCells="1" sizeWithCells="1">
                  <from>
                    <xdr:col>1</xdr:col>
                    <xdr:colOff>180975</xdr:colOff>
                    <xdr:row>11</xdr:row>
                    <xdr:rowOff>9525</xdr:rowOff>
                  </from>
                  <to>
                    <xdr:col>1</xdr:col>
                    <xdr:colOff>3209925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BD</vt:lpstr>
      <vt:lpstr>Главная</vt:lpstr>
      <vt:lpstr>IMO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Dns</cp:lastModifiedBy>
  <dcterms:created xsi:type="dcterms:W3CDTF">2018-11-28T08:02:54Z</dcterms:created>
  <dcterms:modified xsi:type="dcterms:W3CDTF">2023-08-31T13:35:22Z</dcterms:modified>
</cp:coreProperties>
</file>